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st.lan\Data\Documents\"/>
    </mc:Choice>
  </mc:AlternateContent>
  <xr:revisionPtr revIDLastSave="0" documentId="13_ncr:1_{DD8EF40B-3738-486B-99F6-37750B034840}" xr6:coauthVersionLast="47" xr6:coauthVersionMax="47" xr10:uidLastSave="{00000000-0000-0000-0000-000000000000}"/>
  <bookViews>
    <workbookView xWindow="16080" yWindow="-120" windowWidth="29040" windowHeight="15960" activeTab="2" xr2:uid="{546BB2B6-84A2-48EC-B044-B26BE50C9BDD}"/>
  </bookViews>
  <sheets>
    <sheet name="Manufacturers" sheetId="1" r:id="rId1"/>
    <sheet name="GpuSeries" sheetId="5" r:id="rId2"/>
    <sheet name="Gpu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5" i="6" l="1"/>
  <c r="E56" i="6"/>
  <c r="E57" i="6"/>
  <c r="E58" i="6"/>
  <c r="E59" i="6"/>
  <c r="E60" i="6"/>
  <c r="D55" i="6"/>
  <c r="D56" i="6"/>
  <c r="D57" i="6"/>
  <c r="D58" i="6"/>
  <c r="D59" i="6"/>
  <c r="D60" i="6"/>
  <c r="D25" i="6"/>
  <c r="E25" i="6"/>
  <c r="E22" i="6"/>
  <c r="E23" i="6"/>
  <c r="D22" i="6"/>
  <c r="D23" i="6"/>
  <c r="D46" i="6"/>
  <c r="E46" i="6"/>
  <c r="D47" i="6"/>
  <c r="E47" i="6"/>
  <c r="D48" i="6"/>
  <c r="E48" i="6"/>
  <c r="D49" i="6"/>
  <c r="E49" i="6"/>
  <c r="D50" i="6"/>
  <c r="E50" i="6"/>
  <c r="D51" i="6"/>
  <c r="E51" i="6"/>
  <c r="D52" i="6"/>
  <c r="E52" i="6"/>
  <c r="D53" i="6"/>
  <c r="E53" i="6"/>
  <c r="D54" i="6"/>
  <c r="E54" i="6"/>
  <c r="E42" i="6"/>
  <c r="E43" i="6"/>
  <c r="E44" i="6"/>
  <c r="E45" i="6"/>
  <c r="D42" i="6"/>
  <c r="D43" i="6"/>
  <c r="D44" i="6"/>
  <c r="D45" i="6"/>
  <c r="E3" i="6"/>
  <c r="D3" i="6"/>
  <c r="E30" i="6"/>
  <c r="E31" i="6"/>
  <c r="E32" i="6"/>
  <c r="E33" i="6"/>
  <c r="E34" i="6"/>
  <c r="E35" i="6"/>
  <c r="E36" i="6"/>
  <c r="E37" i="6"/>
  <c r="E38" i="6"/>
  <c r="E39" i="6"/>
  <c r="E40" i="6"/>
  <c r="E41" i="6"/>
  <c r="D30" i="6"/>
  <c r="D31" i="6"/>
  <c r="D32" i="6"/>
  <c r="D33" i="6"/>
  <c r="D34" i="6"/>
  <c r="D35" i="6"/>
  <c r="D36" i="6"/>
  <c r="D37" i="6"/>
  <c r="D38" i="6"/>
  <c r="D39" i="6"/>
  <c r="D40" i="6"/>
  <c r="D41" i="6"/>
  <c r="E26" i="6"/>
  <c r="E27" i="6"/>
  <c r="E28" i="6"/>
  <c r="E29" i="6"/>
  <c r="D26" i="6"/>
  <c r="D27" i="6"/>
  <c r="D28" i="6"/>
  <c r="D29" i="6"/>
  <c r="D24" i="6"/>
  <c r="E24" i="6"/>
  <c r="E16" i="6"/>
  <c r="E17" i="6"/>
  <c r="E18" i="6"/>
  <c r="E19" i="6"/>
  <c r="E20" i="6"/>
  <c r="E21" i="6"/>
  <c r="D16" i="6"/>
  <c r="D17" i="6"/>
  <c r="D18" i="6"/>
  <c r="D19" i="6"/>
  <c r="D20" i="6"/>
  <c r="D21" i="6"/>
  <c r="E15" i="6"/>
  <c r="D15" i="6"/>
  <c r="E4" i="6"/>
  <c r="E5" i="6"/>
  <c r="E6" i="6"/>
  <c r="E7" i="6"/>
  <c r="E8" i="6"/>
  <c r="E9" i="6"/>
  <c r="E10" i="6"/>
  <c r="E11" i="6"/>
  <c r="E12" i="6"/>
  <c r="E13" i="6"/>
  <c r="E14" i="6"/>
  <c r="E2" i="6"/>
  <c r="D4" i="6"/>
  <c r="D5" i="6"/>
  <c r="D6" i="6"/>
  <c r="D7" i="6"/>
  <c r="D8" i="6"/>
  <c r="D9" i="6"/>
  <c r="D10" i="6"/>
  <c r="D11" i="6"/>
  <c r="D12" i="6"/>
  <c r="D13" i="6"/>
  <c r="D14" i="6"/>
  <c r="D2" i="6"/>
  <c r="D3" i="5"/>
  <c r="D4" i="5"/>
  <c r="D5" i="5"/>
  <c r="D6" i="5"/>
  <c r="D7" i="5"/>
  <c r="D8" i="5"/>
  <c r="D9" i="5"/>
  <c r="D2" i="5"/>
</calcChain>
</file>

<file path=xl/sharedStrings.xml><?xml version="1.0" encoding="utf-8"?>
<sst xmlns="http://schemas.openxmlformats.org/spreadsheetml/2006/main" count="218" uniqueCount="88">
  <si>
    <t>Id</t>
  </si>
  <si>
    <t>Name</t>
  </si>
  <si>
    <t>a85691f1-ec3a-4b58-8052-f0c22980286a</t>
  </si>
  <si>
    <t>AMD</t>
  </si>
  <si>
    <t>Intel</t>
  </si>
  <si>
    <t>d4ca1382-75eb-46e4-b84b-a498e01d11b3</t>
  </si>
  <si>
    <t>ManufacturerId</t>
  </si>
  <si>
    <t>ManufacturerName</t>
  </si>
  <si>
    <t>ba243455-a0a9-46ec-b281-09e8fcf76a77</t>
  </si>
  <si>
    <t>Nvidia</t>
  </si>
  <si>
    <t>Radeon RX 6000</t>
  </si>
  <si>
    <t>Radeon RX 7000</t>
  </si>
  <si>
    <t>Radeon RX 9000</t>
  </si>
  <si>
    <t>ARC A Series</t>
  </si>
  <si>
    <t>ARC B Series</t>
  </si>
  <si>
    <t>GeForce RTX 30</t>
  </si>
  <si>
    <t>GeForce RTX 40</t>
  </si>
  <si>
    <t>GeForce RTX 50</t>
  </si>
  <si>
    <t>GpuSeriesId</t>
  </si>
  <si>
    <t>766eb9a1-4351-4699-b69d-8839527a78a0</t>
  </si>
  <si>
    <t>724755c2-fac2-4b10-ae62-056f0e30e0ee</t>
  </si>
  <si>
    <t>ed7acd09-b531-4694-b000-ec7641775034</t>
  </si>
  <si>
    <t>e08ed5fb-a7d8-4de7-94bd-9dd6a3a4cecd</t>
  </si>
  <si>
    <t>4bedf69d-0de1-412a-b525-2b9c70c95a43</t>
  </si>
  <si>
    <t>70f20cb2-d443-4b01-b906-1126a57b154d</t>
  </si>
  <si>
    <t>f62f7b89-46ef-4820-afe7-7ed5b79f06c9</t>
  </si>
  <si>
    <t>f48a4700-2d31-44e8-97c0-7c2b92ec7d4b</t>
  </si>
  <si>
    <t>SeriesId</t>
  </si>
  <si>
    <t>SeriesName</t>
  </si>
  <si>
    <t>RX 6400</t>
  </si>
  <si>
    <t>RX 6750 XT</t>
  </si>
  <si>
    <t>RX 6700 XT</t>
  </si>
  <si>
    <t>RX 6700</t>
  </si>
  <si>
    <t>RX 6650 XT</t>
  </si>
  <si>
    <t>RX 6600</t>
  </si>
  <si>
    <t>RX 6600 XT</t>
  </si>
  <si>
    <t>RX 6950 XT</t>
  </si>
  <si>
    <t>RX 6900 XT</t>
  </si>
  <si>
    <t>RX 6800 XT</t>
  </si>
  <si>
    <t>RX 6800</t>
  </si>
  <si>
    <t>RX 7800 XT</t>
  </si>
  <si>
    <t>RX 7700 XT</t>
  </si>
  <si>
    <t>RX 7600 XT</t>
  </si>
  <si>
    <t>RX 7600</t>
  </si>
  <si>
    <t>RX 7900 XTX</t>
  </si>
  <si>
    <t>RX 7900 XT</t>
  </si>
  <si>
    <t>RX 7900 GRE</t>
  </si>
  <si>
    <t>RX 9070 GRE</t>
  </si>
  <si>
    <t>RX 9070</t>
  </si>
  <si>
    <t>RX 9070 XT</t>
  </si>
  <si>
    <t>Arc A310</t>
  </si>
  <si>
    <t>Arc A380</t>
  </si>
  <si>
    <t>Arc A580</t>
  </si>
  <si>
    <t>Arc A770</t>
  </si>
  <si>
    <t>Arc B570</t>
  </si>
  <si>
    <t>Arc B580</t>
  </si>
  <si>
    <t>RX 6500 XT (4GB)</t>
  </si>
  <si>
    <t>RX 6500 XT (8GB)</t>
  </si>
  <si>
    <t>RTX 3050 (6GB)</t>
  </si>
  <si>
    <t>RTX 3050 (8GB)</t>
  </si>
  <si>
    <t>RTX 3060</t>
  </si>
  <si>
    <t>RTX 3060 Ti</t>
  </si>
  <si>
    <t>RTX 3070</t>
  </si>
  <si>
    <t>RTX 3070 Ti</t>
  </si>
  <si>
    <t>RTX 3080</t>
  </si>
  <si>
    <t>RTX 3080 Ti</t>
  </si>
  <si>
    <t>RTX 3090</t>
  </si>
  <si>
    <t>RTX 3090 Ti</t>
  </si>
  <si>
    <t>RTX 4060</t>
  </si>
  <si>
    <t>RTX 4060 Ti</t>
  </si>
  <si>
    <t>RTX 4070</t>
  </si>
  <si>
    <t>RTX 4070 SUPER</t>
  </si>
  <si>
    <t>RTX 4070 Ti</t>
  </si>
  <si>
    <t>RTX 4070 Ti SUPER</t>
  </si>
  <si>
    <t>RTX 4080</t>
  </si>
  <si>
    <t>RTX 4080 SUPER</t>
  </si>
  <si>
    <t>RTX 4090</t>
  </si>
  <si>
    <t>RX 9060 XT (16GB)</t>
  </si>
  <si>
    <t>RX 9060 XT (8GB)</t>
  </si>
  <si>
    <t>RX 9060 XT LP</t>
  </si>
  <si>
    <t>RX 9050 (4GB)</t>
  </si>
  <si>
    <t>RX 9050 (8GB)</t>
  </si>
  <si>
    <t>RTX 5060</t>
  </si>
  <si>
    <t>RTX 5060 Ti</t>
  </si>
  <si>
    <t>RTX 5070</t>
  </si>
  <si>
    <t>RTX 5070 Ti</t>
  </si>
  <si>
    <t>RTX 5080</t>
  </si>
  <si>
    <t>RTX 5090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</si>
</sst>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F0BB-2708-4C7A-8DA6-CE9C9F7FF99F}">
  <dimension ref="A1:B4"/>
  <sheetViews>
    <sheetView workbookViewId="0">
      <pane ySplit="1" topLeftCell="A2" activePane="bottomLeft" state="frozen"/>
      <selection pane="bottomLeft" activeCell="E23" sqref="E23"/>
    </sheetView>
  </sheetViews>
  <sheetFormatPr defaultRowHeight="15" x14ac:dyDescent="0.25"/>
  <cols>
    <col min="1" max="1" width="37.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t="s">
        <v>4</v>
      </c>
    </row>
    <row r="4" spans="1:2" x14ac:dyDescent="0.25">
      <c r="A4" t="s">
        <v>8</v>
      </c>
      <c r="B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18CA-2762-4B4B-8C4D-A83BA2836F17}">
  <dimension ref="A1:D9"/>
  <sheetViews>
    <sheetView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1" max="1" width="37" bestFit="1" customWidth="1"/>
    <col min="2" max="2" width="14.625" bestFit="1" customWidth="1"/>
    <col min="3" max="3" width="37.25" bestFit="1" customWidth="1"/>
    <col min="4" max="4" width="17.125" bestFit="1" customWidth="1"/>
  </cols>
  <sheetData>
    <row r="1" spans="1:4" x14ac:dyDescent="0.25">
      <c r="A1" t="s">
        <v>18</v>
      </c>
      <c r="B1" t="s">
        <v>1</v>
      </c>
      <c r="C1" t="s">
        <v>6</v>
      </c>
      <c r="D1" t="s">
        <v>7</v>
      </c>
    </row>
    <row r="2" spans="1:4" x14ac:dyDescent="0.25">
      <c r="A2" t="s">
        <v>24</v>
      </c>
      <c r="B2" t="s">
        <v>10</v>
      </c>
      <c r="C2" t="s">
        <v>2</v>
      </c>
      <c r="D2" t="str">
        <f>IFERROR(INDEX(Manufacturers!$B$2:$B$4,MATCH($C2,Manufacturers!$A$2:$A$4,0)), "")</f>
        <v>AMD</v>
      </c>
    </row>
    <row r="3" spans="1:4" x14ac:dyDescent="0.25">
      <c r="A3" t="s">
        <v>25</v>
      </c>
      <c r="B3" t="s">
        <v>11</v>
      </c>
      <c r="C3" t="s">
        <v>2</v>
      </c>
      <c r="D3" t="str">
        <f>IFERROR(INDEX(Manufacturers!$B$2:$B$4,MATCH($C3,Manufacturers!$A$2:$A$4,0)), "")</f>
        <v>AMD</v>
      </c>
    </row>
    <row r="4" spans="1:4" x14ac:dyDescent="0.25">
      <c r="A4" t="s">
        <v>26</v>
      </c>
      <c r="B4" t="s">
        <v>12</v>
      </c>
      <c r="C4" t="s">
        <v>2</v>
      </c>
      <c r="D4" t="str">
        <f>IFERROR(INDEX(Manufacturers!$B$2:$B$4,MATCH($C4,Manufacturers!$A$2:$A$4,0)), "")</f>
        <v>AMD</v>
      </c>
    </row>
    <row r="5" spans="1:4" x14ac:dyDescent="0.25">
      <c r="A5" t="s">
        <v>19</v>
      </c>
      <c r="B5" t="s">
        <v>13</v>
      </c>
      <c r="C5" t="s">
        <v>5</v>
      </c>
      <c r="D5" t="str">
        <f>IFERROR(INDEX(Manufacturers!$B$2:$B$4,MATCH($C5,Manufacturers!$A$2:$A$4,0)), "")</f>
        <v>Intel</v>
      </c>
    </row>
    <row r="6" spans="1:4" x14ac:dyDescent="0.25">
      <c r="A6" t="s">
        <v>20</v>
      </c>
      <c r="B6" t="s">
        <v>14</v>
      </c>
      <c r="C6" t="s">
        <v>5</v>
      </c>
      <c r="D6" t="str">
        <f>IFERROR(INDEX(Manufacturers!$B$2:$B$4,MATCH($C6,Manufacturers!$A$2:$A$4,0)), "")</f>
        <v>Intel</v>
      </c>
    </row>
    <row r="7" spans="1:4" x14ac:dyDescent="0.25">
      <c r="A7" t="s">
        <v>21</v>
      </c>
      <c r="B7" t="s">
        <v>15</v>
      </c>
      <c r="C7" t="s">
        <v>8</v>
      </c>
      <c r="D7" t="str">
        <f>IFERROR(INDEX(Manufacturers!$B$2:$B$4,MATCH($C7,Manufacturers!$A$2:$A$4,0)), "")</f>
        <v>Nvidia</v>
      </c>
    </row>
    <row r="8" spans="1:4" x14ac:dyDescent="0.25">
      <c r="A8" t="s">
        <v>22</v>
      </c>
      <c r="B8" t="s">
        <v>16</v>
      </c>
      <c r="C8" t="s">
        <v>8</v>
      </c>
      <c r="D8" t="str">
        <f>IFERROR(INDEX(Manufacturers!$B$2:$B$4,MATCH($C8,Manufacturers!$A$2:$A$4,0)), "")</f>
        <v>Nvidia</v>
      </c>
    </row>
    <row r="9" spans="1:4" x14ac:dyDescent="0.25">
      <c r="A9" t="s">
        <v>23</v>
      </c>
      <c r="B9" t="s">
        <v>17</v>
      </c>
      <c r="C9" t="s">
        <v>8</v>
      </c>
      <c r="D9" t="str">
        <f>IFERROR(INDEX(Manufacturers!$B$2:$B$4,MATCH($C9,Manufacturers!$A$2:$A$4,0)), "")</f>
        <v>Nvidia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1D1795-94C3-44B6-AB88-8572284F704A}">
          <x14:formula1>
            <xm:f>Manufacturers!$A$2:$A$4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D28E-6AF4-4EB0-A2EF-F373D2B5148E}">
  <dimension ref="A1:E60"/>
  <sheetViews>
    <sheetView tabSelected="1" workbookViewId="0">
      <pane ySplit="1" topLeftCell="A32" activePane="bottomLeft" state="frozen"/>
      <selection pane="bottomLeft" activeCell="B60" sqref="B60"/>
    </sheetView>
  </sheetViews>
  <sheetFormatPr defaultRowHeight="15" x14ac:dyDescent="0.25"/>
  <cols>
    <col min="1" max="1" width="16.625" bestFit="1" customWidth="1"/>
    <col min="2" max="2" width="37.25" bestFit="1" customWidth="1"/>
    <col min="3" max="3" width="36.875" bestFit="1" customWidth="1"/>
    <col min="4" max="4" width="17.125" bestFit="1" customWidth="1"/>
    <col min="5" max="5" width="14.625" bestFit="1" customWidth="1"/>
  </cols>
  <sheetData>
    <row r="1" spans="1:5" x14ac:dyDescent="0.25">
      <c r="A1" t="s">
        <v>1</v>
      </c>
      <c r="B1" t="s">
        <v>6</v>
      </c>
      <c r="C1" t="s">
        <v>27</v>
      </c>
      <c r="D1" t="s">
        <v>7</v>
      </c>
      <c r="E1" t="s">
        <v>28</v>
      </c>
    </row>
    <row r="2" spans="1:5" x14ac:dyDescent="0.25">
      <c r="A2" t="s">
        <v>29</v>
      </c>
      <c r="B2" t="s">
        <v>2</v>
      </c>
      <c r="C2" t="s">
        <v>24</v>
      </c>
      <c r="D2" t="str">
        <f>IFERROR(INDEX(Manufacturers!$B$2:$B$4,MATCH($B2,Manufacturers!$A$2:$A$4,0)),"")</f>
        <v>AMD</v>
      </c>
      <c r="E2" t="str">
        <f>IFERROR(INDEX(GpuSeries!$B$2:$B$9,MATCH($C2,GpuSeries!$A$2:$A$9,0)), "")</f>
        <v>Radeon RX 6000</v>
      </c>
    </row>
    <row r="3" spans="1:5" x14ac:dyDescent="0.25">
      <c r="A3" t="s">
        <v>56</v>
      </c>
      <c r="B3" t="s">
        <v>2</v>
      </c>
      <c r="C3" t="s">
        <v>24</v>
      </c>
      <c r="D3" t="str">
        <f>IFERROR(INDEX(Manufacturers!$B$2:$B$4,MATCH($B3,Manufacturers!$A$2:$A$4,0)),"")</f>
        <v>AMD</v>
      </c>
      <c r="E3" t="str">
        <f>IFERROR(INDEX(GpuSeries!$B$2:$B$9,MATCH($C3,GpuSeries!$A$2:$A$9,0)), "")</f>
        <v>Radeon RX 6000</v>
      </c>
    </row>
    <row r="4" spans="1:5" x14ac:dyDescent="0.25">
      <c r="A4" t="s">
        <v>57</v>
      </c>
      <c r="B4" t="s">
        <v>2</v>
      </c>
      <c r="C4" t="s">
        <v>24</v>
      </c>
      <c r="D4" t="str">
        <f>IFERROR(INDEX(Manufacturers!$B$2:$B$4,MATCH($B4,Manufacturers!$A$2:$A$4,0)),"")</f>
        <v>AMD</v>
      </c>
      <c r="E4" t="str">
        <f>IFERROR(INDEX(GpuSeries!$B$2:$B$9,MATCH($C4,GpuSeries!$A$2:$A$9,0)), "")</f>
        <v>Radeon RX 6000</v>
      </c>
    </row>
    <row r="5" spans="1:5" x14ac:dyDescent="0.25">
      <c r="A5" t="s">
        <v>30</v>
      </c>
      <c r="B5" t="s">
        <v>2</v>
      </c>
      <c r="C5" t="s">
        <v>24</v>
      </c>
      <c r="D5" t="str">
        <f>IFERROR(INDEX(Manufacturers!$B$2:$B$4,MATCH($B5,Manufacturers!$A$2:$A$4,0)),"")</f>
        <v>AMD</v>
      </c>
      <c r="E5" t="str">
        <f>IFERROR(INDEX(GpuSeries!$B$2:$B$9,MATCH($C5,GpuSeries!$A$2:$A$9,0)), "")</f>
        <v>Radeon RX 6000</v>
      </c>
    </row>
    <row r="6" spans="1:5" x14ac:dyDescent="0.25">
      <c r="A6" t="s">
        <v>31</v>
      </c>
      <c r="B6" t="s">
        <v>2</v>
      </c>
      <c r="C6" t="s">
        <v>24</v>
      </c>
      <c r="D6" t="str">
        <f>IFERROR(INDEX(Manufacturers!$B$2:$B$4,MATCH($B6,Manufacturers!$A$2:$A$4,0)),"")</f>
        <v>AMD</v>
      </c>
      <c r="E6" t="str">
        <f>IFERROR(INDEX(GpuSeries!$B$2:$B$9,MATCH($C6,GpuSeries!$A$2:$A$9,0)), "")</f>
        <v>Radeon RX 6000</v>
      </c>
    </row>
    <row r="7" spans="1:5" x14ac:dyDescent="0.25">
      <c r="A7" t="s">
        <v>32</v>
      </c>
      <c r="B7" t="s">
        <v>2</v>
      </c>
      <c r="C7" t="s">
        <v>24</v>
      </c>
      <c r="D7" t="str">
        <f>IFERROR(INDEX(Manufacturers!$B$2:$B$4,MATCH($B7,Manufacturers!$A$2:$A$4,0)),"")</f>
        <v>AMD</v>
      </c>
      <c r="E7" t="str">
        <f>IFERROR(INDEX(GpuSeries!$B$2:$B$9,MATCH($C7,GpuSeries!$A$2:$A$9,0)), "")</f>
        <v>Radeon RX 6000</v>
      </c>
    </row>
    <row r="8" spans="1:5" x14ac:dyDescent="0.25">
      <c r="A8" t="s">
        <v>33</v>
      </c>
      <c r="B8" t="s">
        <v>2</v>
      </c>
      <c r="C8" t="s">
        <v>24</v>
      </c>
      <c r="D8" t="str">
        <f>IFERROR(INDEX(Manufacturers!$B$2:$B$4,MATCH($B8,Manufacturers!$A$2:$A$4,0)),"")</f>
        <v>AMD</v>
      </c>
      <c r="E8" t="str">
        <f>IFERROR(INDEX(GpuSeries!$B$2:$B$9,MATCH($C8,GpuSeries!$A$2:$A$9,0)), "")</f>
        <v>Radeon RX 6000</v>
      </c>
    </row>
    <row r="9" spans="1:5" x14ac:dyDescent="0.25">
      <c r="A9" t="s">
        <v>35</v>
      </c>
      <c r="B9" t="s">
        <v>2</v>
      </c>
      <c r="C9" t="s">
        <v>24</v>
      </c>
      <c r="D9" t="str">
        <f>IFERROR(INDEX(Manufacturers!$B$2:$B$4,MATCH($B9,Manufacturers!$A$2:$A$4,0)),"")</f>
        <v>AMD</v>
      </c>
      <c r="E9" t="str">
        <f>IFERROR(INDEX(GpuSeries!$B$2:$B$9,MATCH($C9,GpuSeries!$A$2:$A$9,0)), "")</f>
        <v>Radeon RX 6000</v>
      </c>
    </row>
    <row r="10" spans="1:5" x14ac:dyDescent="0.25">
      <c r="A10" t="s">
        <v>34</v>
      </c>
      <c r="B10" t="s">
        <v>2</v>
      </c>
      <c r="C10" t="s">
        <v>24</v>
      </c>
      <c r="D10" t="str">
        <f>IFERROR(INDEX(Manufacturers!$B$2:$B$4,MATCH($B10,Manufacturers!$A$2:$A$4,0)),"")</f>
        <v>AMD</v>
      </c>
      <c r="E10" t="str">
        <f>IFERROR(INDEX(GpuSeries!$B$2:$B$9,MATCH($C10,GpuSeries!$A$2:$A$9,0)), "")</f>
        <v>Radeon RX 6000</v>
      </c>
    </row>
    <row r="11" spans="1:5" x14ac:dyDescent="0.25">
      <c r="A11" t="s">
        <v>36</v>
      </c>
      <c r="B11" t="s">
        <v>2</v>
      </c>
      <c r="C11" t="s">
        <v>24</v>
      </c>
      <c r="D11" t="str">
        <f>IFERROR(INDEX(Manufacturers!$B$2:$B$4,MATCH($B11,Manufacturers!$A$2:$A$4,0)),"")</f>
        <v>AMD</v>
      </c>
      <c r="E11" t="str">
        <f>IFERROR(INDEX(GpuSeries!$B$2:$B$9,MATCH($C11,GpuSeries!$A$2:$A$9,0)), "")</f>
        <v>Radeon RX 6000</v>
      </c>
    </row>
    <row r="12" spans="1:5" x14ac:dyDescent="0.25">
      <c r="A12" t="s">
        <v>37</v>
      </c>
      <c r="B12" t="s">
        <v>2</v>
      </c>
      <c r="C12" t="s">
        <v>24</v>
      </c>
      <c r="D12" t="str">
        <f>IFERROR(INDEX(Manufacturers!$B$2:$B$4,MATCH($B12,Manufacturers!$A$2:$A$4,0)),"")</f>
        <v>AMD</v>
      </c>
      <c r="E12" t="str">
        <f>IFERROR(INDEX(GpuSeries!$B$2:$B$9,MATCH($C12,GpuSeries!$A$2:$A$9,0)), "")</f>
        <v>Radeon RX 6000</v>
      </c>
    </row>
    <row r="13" spans="1:5" x14ac:dyDescent="0.25">
      <c r="A13" t="s">
        <v>38</v>
      </c>
      <c r="B13" t="s">
        <v>2</v>
      </c>
      <c r="C13" t="s">
        <v>24</v>
      </c>
      <c r="D13" t="str">
        <f>IFERROR(INDEX(Manufacturers!$B$2:$B$4,MATCH($B13,Manufacturers!$A$2:$A$4,0)),"")</f>
        <v>AMD</v>
      </c>
      <c r="E13" t="str">
        <f>IFERROR(INDEX(GpuSeries!$B$2:$B$9,MATCH($C13,GpuSeries!$A$2:$A$9,0)), "")</f>
        <v>Radeon RX 6000</v>
      </c>
    </row>
    <row r="14" spans="1:5" x14ac:dyDescent="0.25">
      <c r="A14" t="s">
        <v>39</v>
      </c>
      <c r="B14" t="s">
        <v>2</v>
      </c>
      <c r="C14" t="s">
        <v>24</v>
      </c>
      <c r="D14" t="str">
        <f>IFERROR(INDEX(Manufacturers!$B$2:$B$4,MATCH($B14,Manufacturers!$A$2:$A$4,0)),"")</f>
        <v>AMD</v>
      </c>
      <c r="E14" t="str">
        <f>IFERROR(INDEX(GpuSeries!$B$2:$B$9,MATCH($C14,GpuSeries!$A$2:$A$9,0)), "")</f>
        <v>Radeon RX 6000</v>
      </c>
    </row>
    <row r="15" spans="1:5" x14ac:dyDescent="0.25">
      <c r="A15" t="s">
        <v>40</v>
      </c>
      <c r="B15" t="s">
        <v>2</v>
      </c>
      <c r="C15" t="s">
        <v>25</v>
      </c>
      <c r="D15" t="str">
        <f>IFERROR(INDEX(Manufacturers!$B$2:$B$4,MATCH($B15,Manufacturers!$A$2:$A$4,0)),"")</f>
        <v>AMD</v>
      </c>
      <c r="E15" t="str">
        <f>IFERROR(INDEX(GpuSeries!$B$2:$B$9,MATCH($C15,GpuSeries!$A$2:$A$9,0)), "")</f>
        <v>Radeon RX 7000</v>
      </c>
    </row>
    <row r="16" spans="1:5" x14ac:dyDescent="0.25">
      <c r="A16" t="s">
        <v>41</v>
      </c>
      <c r="B16" t="s">
        <v>2</v>
      </c>
      <c r="C16" t="s">
        <v>25</v>
      </c>
      <c r="D16" t="str">
        <f>IFERROR(INDEX(Manufacturers!$B$2:$B$4,MATCH($B16,Manufacturers!$A$2:$A$4,0)),"")</f>
        <v>AMD</v>
      </c>
      <c r="E16" t="str">
        <f>IFERROR(INDEX(GpuSeries!$B$2:$B$9,MATCH($C16,GpuSeries!$A$2:$A$9,0)), "")</f>
        <v>Radeon RX 7000</v>
      </c>
    </row>
    <row r="17" spans="1:5" x14ac:dyDescent="0.25">
      <c r="A17" t="s">
        <v>42</v>
      </c>
      <c r="B17" t="s">
        <v>2</v>
      </c>
      <c r="C17" t="s">
        <v>25</v>
      </c>
      <c r="D17" t="str">
        <f>IFERROR(INDEX(Manufacturers!$B$2:$B$4,MATCH($B17,Manufacturers!$A$2:$A$4,0)),"")</f>
        <v>AMD</v>
      </c>
      <c r="E17" t="str">
        <f>IFERROR(INDEX(GpuSeries!$B$2:$B$9,MATCH($C17,GpuSeries!$A$2:$A$9,0)), "")</f>
        <v>Radeon RX 7000</v>
      </c>
    </row>
    <row r="18" spans="1:5" x14ac:dyDescent="0.25">
      <c r="A18" t="s">
        <v>43</v>
      </c>
      <c r="B18" t="s">
        <v>2</v>
      </c>
      <c r="C18" t="s">
        <v>25</v>
      </c>
      <c r="D18" t="str">
        <f>IFERROR(INDEX(Manufacturers!$B$2:$B$4,MATCH($B18,Manufacturers!$A$2:$A$4,0)),"")</f>
        <v>AMD</v>
      </c>
      <c r="E18" t="str">
        <f>IFERROR(INDEX(GpuSeries!$B$2:$B$9,MATCH($C18,GpuSeries!$A$2:$A$9,0)), "")</f>
        <v>Radeon RX 7000</v>
      </c>
    </row>
    <row r="19" spans="1:5" x14ac:dyDescent="0.25">
      <c r="A19" t="s">
        <v>44</v>
      </c>
      <c r="B19" t="s">
        <v>2</v>
      </c>
      <c r="C19" t="s">
        <v>25</v>
      </c>
      <c r="D19" t="str">
        <f>IFERROR(INDEX(Manufacturers!$B$2:$B$4,MATCH($B19,Manufacturers!$A$2:$A$4,0)),"")</f>
        <v>AMD</v>
      </c>
      <c r="E19" t="str">
        <f>IFERROR(INDEX(GpuSeries!$B$2:$B$9,MATCH($C19,GpuSeries!$A$2:$A$9,0)), "")</f>
        <v>Radeon RX 7000</v>
      </c>
    </row>
    <row r="20" spans="1:5" x14ac:dyDescent="0.25">
      <c r="A20" t="s">
        <v>45</v>
      </c>
      <c r="B20" t="s">
        <v>2</v>
      </c>
      <c r="C20" t="s">
        <v>25</v>
      </c>
      <c r="D20" t="str">
        <f>IFERROR(INDEX(Manufacturers!$B$2:$B$4,MATCH($B20,Manufacturers!$A$2:$A$4,0)),"")</f>
        <v>AMD</v>
      </c>
      <c r="E20" t="str">
        <f>IFERROR(INDEX(GpuSeries!$B$2:$B$9,MATCH($C20,GpuSeries!$A$2:$A$9,0)), "")</f>
        <v>Radeon RX 7000</v>
      </c>
    </row>
    <row r="21" spans="1:5" x14ac:dyDescent="0.25">
      <c r="A21" t="s">
        <v>46</v>
      </c>
      <c r="B21" t="s">
        <v>2</v>
      </c>
      <c r="C21" t="s">
        <v>25</v>
      </c>
      <c r="D21" t="str">
        <f>IFERROR(INDEX(Manufacturers!$B$2:$B$4,MATCH($B21,Manufacturers!$A$2:$A$4,0)),"")</f>
        <v>AMD</v>
      </c>
      <c r="E21" t="str">
        <f>IFERROR(INDEX(GpuSeries!$B$2:$B$9,MATCH($C21,GpuSeries!$A$2:$A$9,0)), "")</f>
        <v>Radeon RX 7000</v>
      </c>
    </row>
    <row r="22" spans="1:5" x14ac:dyDescent="0.25">
      <c r="A22" t="s">
        <v>77</v>
      </c>
      <c r="B22" t="s">
        <v>2</v>
      </c>
      <c r="C22" t="s">
        <v>26</v>
      </c>
      <c r="D22" t="str">
        <f>IFERROR(INDEX(Manufacturers!$B$2:$B$4,MATCH($B22,Manufacturers!$A$2:$A$4,0)),"")</f>
        <v>AMD</v>
      </c>
      <c r="E22" t="str">
        <f>IFERROR(INDEX(GpuSeries!$B$2:$B$9,MATCH($C22,GpuSeries!$A$2:$A$9,0)), "")</f>
        <v>Radeon RX 9000</v>
      </c>
    </row>
    <row r="23" spans="1:5" x14ac:dyDescent="0.25">
      <c r="A23" t="s">
        <v>78</v>
      </c>
      <c r="B23" t="s">
        <v>2</v>
      </c>
      <c r="C23" t="s">
        <v>26</v>
      </c>
      <c r="D23" t="str">
        <f>IFERROR(INDEX(Manufacturers!$B$2:$B$4,MATCH($B23,Manufacturers!$A$2:$A$4,0)),"")</f>
        <v>AMD</v>
      </c>
      <c r="E23" t="str">
        <f>IFERROR(INDEX(GpuSeries!$B$2:$B$9,MATCH($C23,GpuSeries!$A$2:$A$9,0)), "")</f>
        <v>Radeon RX 9000</v>
      </c>
    </row>
    <row r="24" spans="1:5" x14ac:dyDescent="0.25">
      <c r="A24" t="s">
        <v>79</v>
      </c>
      <c r="B24" t="s">
        <v>2</v>
      </c>
      <c r="C24" t="s">
        <v>26</v>
      </c>
      <c r="D24" t="str">
        <f>IFERROR(INDEX(Manufacturers!$B$2:$B$4,MATCH($B24,Manufacturers!$A$2:$A$4,0)),"")</f>
        <v>AMD</v>
      </c>
      <c r="E24" t="str">
        <f>IFERROR(INDEX(GpuSeries!$B$2:$B$9,MATCH($C24,GpuSeries!$A$2:$A$9,0)), "")</f>
        <v>Radeon RX 9000</v>
      </c>
    </row>
    <row r="25" spans="1:5" x14ac:dyDescent="0.25">
      <c r="A25" t="s">
        <v>80</v>
      </c>
      <c r="B25" t="s">
        <v>2</v>
      </c>
      <c r="C25" t="s">
        <v>26</v>
      </c>
      <c r="D25" t="str">
        <f>IFERROR(INDEX(Manufacturers!$B$2:$B$4,MATCH($B25,Manufacturers!$A$2:$A$4,0)),"")</f>
        <v>AMD</v>
      </c>
      <c r="E25" t="str">
        <f>IFERROR(INDEX(GpuSeries!$B$2:$B$9,MATCH($C25,GpuSeries!$A$2:$A$9,0)), "")</f>
        <v>Radeon RX 9000</v>
      </c>
    </row>
    <row r="26" spans="1:5" x14ac:dyDescent="0.25">
      <c r="A26" t="s">
        <v>81</v>
      </c>
      <c r="B26" t="s">
        <v>2</v>
      </c>
      <c r="C26" t="s">
        <v>26</v>
      </c>
      <c r="D26" t="str">
        <f>IFERROR(INDEX(Manufacturers!$B$2:$B$4,MATCH($B26,Manufacturers!$A$2:$A$4,0)),"")</f>
        <v>AMD</v>
      </c>
      <c r="E26" t="str">
        <f>IFERROR(INDEX(GpuSeries!$B$2:$B$9,MATCH($C26,GpuSeries!$A$2:$A$9,0)), "")</f>
        <v>Radeon RX 9000</v>
      </c>
    </row>
    <row r="27" spans="1:5" x14ac:dyDescent="0.25">
      <c r="A27" t="s">
        <v>47</v>
      </c>
      <c r="B27" t="s">
        <v>2</v>
      </c>
      <c r="C27" t="s">
        <v>26</v>
      </c>
      <c r="D27" t="str">
        <f>IFERROR(INDEX(Manufacturers!$B$2:$B$4,MATCH($B27,Manufacturers!$A$2:$A$4,0)),"")</f>
        <v>AMD</v>
      </c>
      <c r="E27" t="str">
        <f>IFERROR(INDEX(GpuSeries!$B$2:$B$9,MATCH($C27,GpuSeries!$A$2:$A$9,0)), "")</f>
        <v>Radeon RX 9000</v>
      </c>
    </row>
    <row r="28" spans="1:5" x14ac:dyDescent="0.25">
      <c r="A28" t="s">
        <v>48</v>
      </c>
      <c r="B28" t="s">
        <v>2</v>
      </c>
      <c r="C28" t="s">
        <v>26</v>
      </c>
      <c r="D28" t="str">
        <f>IFERROR(INDEX(Manufacturers!$B$2:$B$4,MATCH($B28,Manufacturers!$A$2:$A$4,0)),"")</f>
        <v>AMD</v>
      </c>
      <c r="E28" t="str">
        <f>IFERROR(INDEX(GpuSeries!$B$2:$B$9,MATCH($C28,GpuSeries!$A$2:$A$9,0)), "")</f>
        <v>Radeon RX 9000</v>
      </c>
    </row>
    <row r="29" spans="1:5" x14ac:dyDescent="0.25">
      <c r="A29" t="s">
        <v>49</v>
      </c>
      <c r="B29" t="s">
        <v>2</v>
      </c>
      <c r="C29" t="s">
        <v>26</v>
      </c>
      <c r="D29" t="str">
        <f>IFERROR(INDEX(Manufacturers!$B$2:$B$4,MATCH($B29,Manufacturers!$A$2:$A$4,0)),"")</f>
        <v>AMD</v>
      </c>
      <c r="E29" t="str">
        <f>IFERROR(INDEX(GpuSeries!$B$2:$B$9,MATCH($C29,GpuSeries!$A$2:$A$9,0)), "")</f>
        <v>Radeon RX 9000</v>
      </c>
    </row>
    <row r="30" spans="1:5" x14ac:dyDescent="0.25">
      <c r="A30" t="s">
        <v>50</v>
      </c>
      <c r="B30" t="s">
        <v>5</v>
      </c>
      <c r="C30" t="s">
        <v>19</v>
      </c>
      <c r="D30" t="str">
        <f>IFERROR(INDEX(Manufacturers!$B$2:$B$4,MATCH($B30,Manufacturers!$A$2:$A$4,0)),"")</f>
        <v>Intel</v>
      </c>
      <c r="E30" t="str">
        <f>IFERROR(INDEX(GpuSeries!$B$2:$B$9,MATCH($C30,GpuSeries!$A$2:$A$9,0)), "")</f>
        <v>ARC A Series</v>
      </c>
    </row>
    <row r="31" spans="1:5" x14ac:dyDescent="0.25">
      <c r="A31" t="s">
        <v>51</v>
      </c>
      <c r="B31" t="s">
        <v>5</v>
      </c>
      <c r="C31" t="s">
        <v>19</v>
      </c>
      <c r="D31" t="str">
        <f>IFERROR(INDEX(Manufacturers!$B$2:$B$4,MATCH($B31,Manufacturers!$A$2:$A$4,0)),"")</f>
        <v>Intel</v>
      </c>
      <c r="E31" t="str">
        <f>IFERROR(INDEX(GpuSeries!$B$2:$B$9,MATCH($C31,GpuSeries!$A$2:$A$9,0)), "")</f>
        <v>ARC A Series</v>
      </c>
    </row>
    <row r="32" spans="1:5" x14ac:dyDescent="0.25">
      <c r="A32" t="s">
        <v>52</v>
      </c>
      <c r="B32" t="s">
        <v>5</v>
      </c>
      <c r="C32" t="s">
        <v>19</v>
      </c>
      <c r="D32" t="str">
        <f>IFERROR(INDEX(Manufacturers!$B$2:$B$4,MATCH($B32,Manufacturers!$A$2:$A$4,0)),"")</f>
        <v>Intel</v>
      </c>
      <c r="E32" t="str">
        <f>IFERROR(INDEX(GpuSeries!$B$2:$B$9,MATCH($C32,GpuSeries!$A$2:$A$9,0)), "")</f>
        <v>ARC A Series</v>
      </c>
    </row>
    <row r="33" spans="1:5" x14ac:dyDescent="0.25">
      <c r="A33" t="s">
        <v>53</v>
      </c>
      <c r="B33" t="s">
        <v>5</v>
      </c>
      <c r="C33" t="s">
        <v>19</v>
      </c>
      <c r="D33" t="str">
        <f>IFERROR(INDEX(Manufacturers!$B$2:$B$4,MATCH($B33,Manufacturers!$A$2:$A$4,0)),"")</f>
        <v>Intel</v>
      </c>
      <c r="E33" t="str">
        <f>IFERROR(INDEX(GpuSeries!$B$2:$B$9,MATCH($C33,GpuSeries!$A$2:$A$9,0)), "")</f>
        <v>ARC A Series</v>
      </c>
    </row>
    <row r="34" spans="1:5" x14ac:dyDescent="0.25">
      <c r="A34" t="s">
        <v>54</v>
      </c>
      <c r="B34" t="s">
        <v>5</v>
      </c>
      <c r="C34" t="s">
        <v>20</v>
      </c>
      <c r="D34" t="str">
        <f>IFERROR(INDEX(Manufacturers!$B$2:$B$4,MATCH($B34,Manufacturers!$A$2:$A$4,0)),"")</f>
        <v>Intel</v>
      </c>
      <c r="E34" t="str">
        <f>IFERROR(INDEX(GpuSeries!$B$2:$B$9,MATCH($C34,GpuSeries!$A$2:$A$9,0)), "")</f>
        <v>ARC B Series</v>
      </c>
    </row>
    <row r="35" spans="1:5" x14ac:dyDescent="0.25">
      <c r="A35" t="s">
        <v>55</v>
      </c>
      <c r="B35" t="s">
        <v>5</v>
      </c>
      <c r="C35" t="s">
        <v>20</v>
      </c>
      <c r="D35" t="str">
        <f>IFERROR(INDEX(Manufacturers!$B$2:$B$4,MATCH($B35,Manufacturers!$A$2:$A$4,0)),"")</f>
        <v>Intel</v>
      </c>
      <c r="E35" t="str">
        <f>IFERROR(INDEX(GpuSeries!$B$2:$B$9,MATCH($C35,GpuSeries!$A$2:$A$9,0)), "")</f>
        <v>ARC B Series</v>
      </c>
    </row>
    <row r="36" spans="1:5" x14ac:dyDescent="0.25">
      <c r="A36" t="s">
        <v>58</v>
      </c>
      <c r="B36" t="s">
        <v>8</v>
      </c>
      <c r="C36" t="s">
        <v>21</v>
      </c>
      <c r="D36" t="str">
        <f>IFERROR(INDEX(Manufacturers!$B$2:$B$4,MATCH($B36,Manufacturers!$A$2:$A$4,0)),"")</f>
        <v>Nvidia</v>
      </c>
      <c r="E36" t="str">
        <f>IFERROR(INDEX(GpuSeries!$B$2:$B$9,MATCH($C36,GpuSeries!$A$2:$A$9,0)), "")</f>
        <v>GeForce RTX 30</v>
      </c>
    </row>
    <row r="37" spans="1:5" x14ac:dyDescent="0.25">
      <c r="A37" t="s">
        <v>59</v>
      </c>
      <c r="B37" t="s">
        <v>8</v>
      </c>
      <c r="C37" t="s">
        <v>21</v>
      </c>
      <c r="D37" t="str">
        <f>IFERROR(INDEX(Manufacturers!$B$2:$B$4,MATCH($B37,Manufacturers!$A$2:$A$4,0)),"")</f>
        <v>Nvidia</v>
      </c>
      <c r="E37" t="str">
        <f>IFERROR(INDEX(GpuSeries!$B$2:$B$9,MATCH($C37,GpuSeries!$A$2:$A$9,0)), "")</f>
        <v>GeForce RTX 30</v>
      </c>
    </row>
    <row r="38" spans="1:5" x14ac:dyDescent="0.25">
      <c r="A38" t="s">
        <v>60</v>
      </c>
      <c r="B38" t="s">
        <v>8</v>
      </c>
      <c r="C38" t="s">
        <v>21</v>
      </c>
      <c r="D38" t="str">
        <f>IFERROR(INDEX(Manufacturers!$B$2:$B$4,MATCH($B38,Manufacturers!$A$2:$A$4,0)),"")</f>
        <v>Nvidia</v>
      </c>
      <c r="E38" t="str">
        <f>IFERROR(INDEX(GpuSeries!$B$2:$B$9,MATCH($C38,GpuSeries!$A$2:$A$9,0)), "")</f>
        <v>GeForce RTX 30</v>
      </c>
    </row>
    <row r="39" spans="1:5" x14ac:dyDescent="0.25">
      <c r="A39" t="s">
        <v>61</v>
      </c>
      <c r="B39" t="s">
        <v>8</v>
      </c>
      <c r="C39" t="s">
        <v>21</v>
      </c>
      <c r="D39" t="str">
        <f>IFERROR(INDEX(Manufacturers!$B$2:$B$4,MATCH($B39,Manufacturers!$A$2:$A$4,0)),"")</f>
        <v>Nvidia</v>
      </c>
      <c r="E39" t="str">
        <f>IFERROR(INDEX(GpuSeries!$B$2:$B$9,MATCH($C39,GpuSeries!$A$2:$A$9,0)), "")</f>
        <v>GeForce RTX 30</v>
      </c>
    </row>
    <row r="40" spans="1:5" x14ac:dyDescent="0.25">
      <c r="A40" t="s">
        <v>62</v>
      </c>
      <c r="B40" t="s">
        <v>8</v>
      </c>
      <c r="C40" t="s">
        <v>21</v>
      </c>
      <c r="D40" t="str">
        <f>IFERROR(INDEX(Manufacturers!$B$2:$B$4,MATCH($B40,Manufacturers!$A$2:$A$4,0)),"")</f>
        <v>Nvidia</v>
      </c>
      <c r="E40" t="str">
        <f>IFERROR(INDEX(GpuSeries!$B$2:$B$9,MATCH($C40,GpuSeries!$A$2:$A$9,0)), "")</f>
        <v>GeForce RTX 30</v>
      </c>
    </row>
    <row r="41" spans="1:5" x14ac:dyDescent="0.25">
      <c r="A41" t="s">
        <v>63</v>
      </c>
      <c r="B41" t="s">
        <v>8</v>
      </c>
      <c r="C41" t="s">
        <v>21</v>
      </c>
      <c r="D41" t="str">
        <f>IFERROR(INDEX(Manufacturers!$B$2:$B$4,MATCH($B41,Manufacturers!$A$2:$A$4,0)),"")</f>
        <v>Nvidia</v>
      </c>
      <c r="E41" t="str">
        <f>IFERROR(INDEX(GpuSeries!$B$2:$B$9,MATCH($C41,GpuSeries!$A$2:$A$9,0)), "")</f>
        <v>GeForce RTX 30</v>
      </c>
    </row>
    <row r="42" spans="1:5" x14ac:dyDescent="0.25">
      <c r="A42" t="s">
        <v>64</v>
      </c>
      <c r="B42" t="s">
        <v>8</v>
      </c>
      <c r="C42" t="s">
        <v>21</v>
      </c>
      <c r="D42" t="str">
        <f>IFERROR(INDEX(Manufacturers!$B$2:$B$4,MATCH($B42,Manufacturers!$A$2:$A$4,0)),"")</f>
        <v>Nvidia</v>
      </c>
      <c r="E42" t="str">
        <f>IFERROR(INDEX(GpuSeries!$B$2:$B$9,MATCH($C42,GpuSeries!$A$2:$A$9,0)), "")</f>
        <v>GeForce RTX 30</v>
      </c>
    </row>
    <row r="43" spans="1:5" x14ac:dyDescent="0.25">
      <c r="A43" t="s">
        <v>65</v>
      </c>
      <c r="B43" t="s">
        <v>8</v>
      </c>
      <c r="C43" t="s">
        <v>21</v>
      </c>
      <c r="D43" t="str">
        <f>IFERROR(INDEX(Manufacturers!$B$2:$B$4,MATCH($B43,Manufacturers!$A$2:$A$4,0)),"")</f>
        <v>Nvidia</v>
      </c>
      <c r="E43" t="str">
        <f>IFERROR(INDEX(GpuSeries!$B$2:$B$9,MATCH($C43,GpuSeries!$A$2:$A$9,0)), "")</f>
        <v>GeForce RTX 30</v>
      </c>
    </row>
    <row r="44" spans="1:5" x14ac:dyDescent="0.25">
      <c r="A44" t="s">
        <v>66</v>
      </c>
      <c r="B44" t="s">
        <v>8</v>
      </c>
      <c r="C44" t="s">
        <v>21</v>
      </c>
      <c r="D44" t="str">
        <f>IFERROR(INDEX(Manufacturers!$B$2:$B$4,MATCH($B44,Manufacturers!$A$2:$A$4,0)),"")</f>
        <v>Nvidia</v>
      </c>
      <c r="E44" t="str">
        <f>IFERROR(INDEX(GpuSeries!$B$2:$B$9,MATCH($C44,GpuSeries!$A$2:$A$9,0)), "")</f>
        <v>GeForce RTX 30</v>
      </c>
    </row>
    <row r="45" spans="1:5" x14ac:dyDescent="0.25">
      <c r="A45" t="s">
        <v>67</v>
      </c>
      <c r="B45" t="s">
        <v>8</v>
      </c>
      <c r="C45" t="s">
        <v>21</v>
      </c>
      <c r="D45" t="str">
        <f>IFERROR(INDEX(Manufacturers!$B$2:$B$4,MATCH($B45,Manufacturers!$A$2:$A$4,0)),"")</f>
        <v>Nvidia</v>
      </c>
      <c r="E45" t="str">
        <f>IFERROR(INDEX(GpuSeries!$B$2:$B$9,MATCH($C45,GpuSeries!$A$2:$A$9,0)), "")</f>
        <v>GeForce RTX 30</v>
      </c>
    </row>
    <row r="46" spans="1:5" x14ac:dyDescent="0.25">
      <c r="A46" t="s">
        <v>68</v>
      </c>
      <c r="B46" t="s">
        <v>8</v>
      </c>
      <c r="C46" t="s">
        <v>22</v>
      </c>
      <c r="D46" t="str">
        <f>IFERROR(INDEX(Manufacturers!$B$2:$B$4,MATCH($B46,Manufacturers!$A$2:$A$4,0)),"")</f>
        <v>Nvidia</v>
      </c>
      <c r="E46" t="str">
        <f>IFERROR(INDEX(GpuSeries!$B$2:$B$9,MATCH($C46,GpuSeries!$A$2:$A$9,0)), "")</f>
        <v>GeForce RTX 40</v>
      </c>
    </row>
    <row r="47" spans="1:5" x14ac:dyDescent="0.25">
      <c r="A47" t="s">
        <v>69</v>
      </c>
      <c r="B47" t="s">
        <v>8</v>
      </c>
      <c r="C47" t="s">
        <v>22</v>
      </c>
      <c r="D47" t="str">
        <f>IFERROR(INDEX(Manufacturers!$B$2:$B$4,MATCH($B47,Manufacturers!$A$2:$A$4,0)),"")</f>
        <v>Nvidia</v>
      </c>
      <c r="E47" t="str">
        <f>IFERROR(INDEX(GpuSeries!$B$2:$B$9,MATCH($C47,GpuSeries!$A$2:$A$9,0)), "")</f>
        <v>GeForce RTX 40</v>
      </c>
    </row>
    <row r="48" spans="1:5" x14ac:dyDescent="0.25">
      <c r="A48" t="s">
        <v>70</v>
      </c>
      <c r="B48" t="s">
        <v>8</v>
      </c>
      <c r="C48" t="s">
        <v>22</v>
      </c>
      <c r="D48" t="str">
        <f>IFERROR(INDEX(Manufacturers!$B$2:$B$4,MATCH($B48,Manufacturers!$A$2:$A$4,0)),"")</f>
        <v>Nvidia</v>
      </c>
      <c r="E48" t="str">
        <f>IFERROR(INDEX(GpuSeries!$B$2:$B$9,MATCH($C48,GpuSeries!$A$2:$A$9,0)), "")</f>
        <v>GeForce RTX 40</v>
      </c>
    </row>
    <row r="49" spans="1:5" x14ac:dyDescent="0.25">
      <c r="A49" t="s">
        <v>71</v>
      </c>
      <c r="B49" t="s">
        <v>8</v>
      </c>
      <c r="C49" t="s">
        <v>22</v>
      </c>
      <c r="D49" t="str">
        <f>IFERROR(INDEX(Manufacturers!$B$2:$B$4,MATCH($B49,Manufacturers!$A$2:$A$4,0)),"")</f>
        <v>Nvidia</v>
      </c>
      <c r="E49" t="str">
        <f>IFERROR(INDEX(GpuSeries!$B$2:$B$9,MATCH($C49,GpuSeries!$A$2:$A$9,0)), "")</f>
        <v>GeForce RTX 40</v>
      </c>
    </row>
    <row r="50" spans="1:5" x14ac:dyDescent="0.25">
      <c r="A50" t="s">
        <v>72</v>
      </c>
      <c r="B50" t="s">
        <v>8</v>
      </c>
      <c r="C50" t="s">
        <v>22</v>
      </c>
      <c r="D50" t="str">
        <f>IFERROR(INDEX(Manufacturers!$B$2:$B$4,MATCH($B50,Manufacturers!$A$2:$A$4,0)),"")</f>
        <v>Nvidia</v>
      </c>
      <c r="E50" t="str">
        <f>IFERROR(INDEX(GpuSeries!$B$2:$B$9,MATCH($C50,GpuSeries!$A$2:$A$9,0)), "")</f>
        <v>GeForce RTX 40</v>
      </c>
    </row>
    <row r="51" spans="1:5" x14ac:dyDescent="0.25">
      <c r="A51" t="s">
        <v>73</v>
      </c>
      <c r="B51" t="s">
        <v>8</v>
      </c>
      <c r="C51" t="s">
        <v>22</v>
      </c>
      <c r="D51" t="str">
        <f>IFERROR(INDEX(Manufacturers!$B$2:$B$4,MATCH($B51,Manufacturers!$A$2:$A$4,0)),"")</f>
        <v>Nvidia</v>
      </c>
      <c r="E51" t="str">
        <f>IFERROR(INDEX(GpuSeries!$B$2:$B$9,MATCH($C51,GpuSeries!$A$2:$A$9,0)), "")</f>
        <v>GeForce RTX 40</v>
      </c>
    </row>
    <row r="52" spans="1:5" x14ac:dyDescent="0.25">
      <c r="A52" t="s">
        <v>74</v>
      </c>
      <c r="B52" t="s">
        <v>8</v>
      </c>
      <c r="C52" t="s">
        <v>22</v>
      </c>
      <c r="D52" t="str">
        <f>IFERROR(INDEX(Manufacturers!$B$2:$B$4,MATCH($B52,Manufacturers!$A$2:$A$4,0)),"")</f>
        <v>Nvidia</v>
      </c>
      <c r="E52" t="str">
        <f>IFERROR(INDEX(GpuSeries!$B$2:$B$9,MATCH($C52,GpuSeries!$A$2:$A$9,0)), "")</f>
        <v>GeForce RTX 40</v>
      </c>
    </row>
    <row r="53" spans="1:5" x14ac:dyDescent="0.25">
      <c r="A53" t="s">
        <v>75</v>
      </c>
      <c r="B53" t="s">
        <v>8</v>
      </c>
      <c r="C53" t="s">
        <v>22</v>
      </c>
      <c r="D53" t="str">
        <f>IFERROR(INDEX(Manufacturers!$B$2:$B$4,MATCH($B53,Manufacturers!$A$2:$A$4,0)),"")</f>
        <v>Nvidia</v>
      </c>
      <c r="E53" t="str">
        <f>IFERROR(INDEX(GpuSeries!$B$2:$B$9,MATCH($C53,GpuSeries!$A$2:$A$9,0)), "")</f>
        <v>GeForce RTX 40</v>
      </c>
    </row>
    <row r="54" spans="1:5" x14ac:dyDescent="0.25">
      <c r="A54" t="s">
        <v>76</v>
      </c>
      <c r="B54" t="s">
        <v>8</v>
      </c>
      <c r="C54" t="s">
        <v>22</v>
      </c>
      <c r="D54" t="str">
        <f>IFERROR(INDEX(Manufacturers!$B$2:$B$4,MATCH($B54,Manufacturers!$A$2:$A$4,0)),"")</f>
        <v>Nvidia</v>
      </c>
      <c r="E54" t="str">
        <f>IFERROR(INDEX(GpuSeries!$B$2:$B$9,MATCH($C54,GpuSeries!$A$2:$A$9,0)), "")</f>
        <v>GeForce RTX 40</v>
      </c>
    </row>
    <row r="55" spans="1:5" x14ac:dyDescent="0.25">
      <c r="A55" t="s">
        <v>82</v>
      </c>
      <c r="B55" t="s">
        <v>8</v>
      </c>
      <c r="C55" t="s">
        <v>23</v>
      </c>
      <c r="D55" t="str">
        <f>IFERROR(INDEX(Manufacturers!$B$2:$B$4,MATCH($B55,Manufacturers!$A$2:$A$4,0)),"")</f>
        <v>Nvidia</v>
      </c>
      <c r="E55" t="str">
        <f>IFERROR(INDEX(GpuSeries!$B$2:$B$9,MATCH($C55,GpuSeries!$A$2:$A$9,0)), "")</f>
        <v>GeForce RTX 50</v>
      </c>
    </row>
    <row r="56" spans="1:5" x14ac:dyDescent="0.25">
      <c r="A56" t="s">
        <v>83</v>
      </c>
      <c r="B56" t="s">
        <v>8</v>
      </c>
      <c r="C56" t="s">
        <v>23</v>
      </c>
      <c r="D56" t="str">
        <f>IFERROR(INDEX(Manufacturers!$B$2:$B$4,MATCH($B56,Manufacturers!$A$2:$A$4,0)),"")</f>
        <v>Nvidia</v>
      </c>
      <c r="E56" t="str">
        <f>IFERROR(INDEX(GpuSeries!$B$2:$B$9,MATCH($C56,GpuSeries!$A$2:$A$9,0)), "")</f>
        <v>GeForce RTX 50</v>
      </c>
    </row>
    <row r="57" spans="1:5" x14ac:dyDescent="0.25">
      <c r="A57" t="s">
        <v>84</v>
      </c>
      <c r="B57" t="s">
        <v>8</v>
      </c>
      <c r="C57" t="s">
        <v>23</v>
      </c>
      <c r="D57" t="str">
        <f>IFERROR(INDEX(Manufacturers!$B$2:$B$4,MATCH($B57,Manufacturers!$A$2:$A$4,0)),"")</f>
        <v>Nvidia</v>
      </c>
      <c r="E57" t="str">
        <f>IFERROR(INDEX(GpuSeries!$B$2:$B$9,MATCH($C57,GpuSeries!$A$2:$A$9,0)), "")</f>
        <v>GeForce RTX 50</v>
      </c>
    </row>
    <row r="58" spans="1:5" x14ac:dyDescent="0.25">
      <c r="A58" t="s">
        <v>85</v>
      </c>
      <c r="B58" t="s">
        <v>8</v>
      </c>
      <c r="C58" t="s">
        <v>23</v>
      </c>
      <c r="D58" t="str">
        <f>IFERROR(INDEX(Manufacturers!$B$2:$B$4,MATCH($B58,Manufacturers!$A$2:$A$4,0)),"")</f>
        <v>Nvidia</v>
      </c>
      <c r="E58" t="str">
        <f>IFERROR(INDEX(GpuSeries!$B$2:$B$9,MATCH($C58,GpuSeries!$A$2:$A$9,0)), "")</f>
        <v>GeForce RTX 50</v>
      </c>
    </row>
    <row r="59" spans="1:5" x14ac:dyDescent="0.25">
      <c r="A59" t="s">
        <v>86</v>
      </c>
      <c r="B59" t="s">
        <v>8</v>
      </c>
      <c r="C59" t="s">
        <v>23</v>
      </c>
      <c r="D59" t="str">
        <f>IFERROR(INDEX(Manufacturers!$B$2:$B$4,MATCH($B59,Manufacturers!$A$2:$A$4,0)),"")</f>
        <v>Nvidia</v>
      </c>
      <c r="E59" t="str">
        <f>IFERROR(INDEX(GpuSeries!$B$2:$B$9,MATCH($C59,GpuSeries!$A$2:$A$9,0)), "")</f>
        <v>GeForce RTX 50</v>
      </c>
    </row>
    <row r="60" spans="1:5" x14ac:dyDescent="0.25">
      <c r="A60" t="s">
        <v>87</v>
      </c>
      <c r="B60" t="s">
        <v>8</v>
      </c>
      <c r="C60" t="s">
        <v>23</v>
      </c>
      <c r="D60" t="str">
        <f>IFERROR(INDEX(Manufacturers!$B$2:$B$4,MATCH($B60,Manufacturers!$A$2:$A$4,0)),"")</f>
        <v>Nvidia</v>
      </c>
      <c r="E60" t="str">
        <f>IFERROR(INDEX(GpuSeries!$B$2:$B$9,MATCH($C60,GpuSeries!$A$2:$A$9,0)), "")</f>
        <v>GeForce RTX 50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AFA3726-2597-49EF-92A9-8541F59AEB5C}">
          <x14:formula1>
            <xm:f>Manufacturers!$A$2:$A$4</xm:f>
          </x14:formula1>
          <xm:sqref>B2:B1048576</xm:sqref>
        </x14:dataValidation>
        <x14:dataValidation type="list" allowBlank="1" showInputMessage="1" showErrorMessage="1" xr:uid="{7C901801-CE44-4DBC-856E-901BFF374B05}">
          <x14:formula1>
            <xm:f>GpuSeries!$A$2:$A$9</xm:f>
          </x14:formula1>
          <xm:sqref>C2:C1048576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Manufacturers</vt:lpstr>
      <vt:lpstr>GpuSeries</vt:lpstr>
      <vt:lpstr>Gpus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Yin Cheung</dc:creator>
  <cp:lastModifiedBy>Yue Yin Cheung</cp:lastModifiedBy>
  <dcterms:created xsi:type="dcterms:W3CDTF">2026-09-02T04:06:46Z</dcterms:created>
  <dcterms:modified xsi:type="dcterms:W3CDTF">2026-09-02T10:00:40Z</dcterms:modified>
</cp:coreProperties>
</file>